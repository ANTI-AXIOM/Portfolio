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te" sheetId="1" r:id="rId4"/>
    <sheet state="visible" name="Capteur Adversaire Avant" sheetId="2" r:id="rId5"/>
    <sheet state="visible" name="Capteur Adversaire Arrière" sheetId="3" r:id="rId6"/>
    <sheet state="visible" name="Capteur Adversaire Droite" sheetId="4" r:id="rId7"/>
    <sheet state="visible" name="Capteur Ligne" sheetId="5" r:id="rId8"/>
    <sheet state="visible" name="regulateur linéraire" sheetId="6" r:id="rId9"/>
    <sheet state="visible" name="Pont en H" sheetId="7" r:id="rId10"/>
    <sheet state="visible" name="Batterie LiPo2S" sheetId="8" r:id="rId11"/>
  </sheets>
  <definedNames/>
  <calcPr/>
  <extLst>
    <ext uri="GoogleSheetsCustomDataVersion2">
      <go:sheetsCustomData xmlns:go="http://customooxmlschemas.google.com/" r:id="rId12" roundtripDataChecksum="xFCEhyJotdf8KVr6b2y6vYTNqMF+M6yISEXDjFumsE8="/>
    </ext>
  </extLst>
</workbook>
</file>

<file path=xl/sharedStrings.xml><?xml version="1.0" encoding="utf-8"?>
<sst xmlns="http://schemas.openxmlformats.org/spreadsheetml/2006/main" count="290" uniqueCount="112">
  <si>
    <t>FICHE D'AIDE A LA DECISION (FAD)</t>
  </si>
  <si>
    <t>Thème de la fiche :</t>
  </si>
  <si>
    <t>Fiche d'aide à la décision</t>
  </si>
  <si>
    <t>Exigence(s) associée(s) :</t>
  </si>
  <si>
    <t>EXIG_AUTONOMIE EXIG_ADVERSAIRE EXIG_LUMINOSITE EXIG_COUT</t>
  </si>
  <si>
    <t>Action</t>
  </si>
  <si>
    <t>NOM Prénom</t>
  </si>
  <si>
    <t>Fonction</t>
  </si>
  <si>
    <t>Date</t>
  </si>
  <si>
    <t>Signature</t>
  </si>
  <si>
    <t>Document
 complété par</t>
  </si>
  <si>
    <t>Blanc Arthur</t>
  </si>
  <si>
    <t>Techniciens</t>
  </si>
  <si>
    <t>B.A</t>
  </si>
  <si>
    <t>Léo Jobard</t>
  </si>
  <si>
    <t>L.J</t>
  </si>
  <si>
    <t>Iban Irastorza</t>
  </si>
  <si>
    <t>I.I</t>
  </si>
  <si>
    <t>Théo Feugnet</t>
  </si>
  <si>
    <t>T.F</t>
  </si>
  <si>
    <t>Jules Clause</t>
  </si>
  <si>
    <t>J.C</t>
  </si>
  <si>
    <t>Décision
 validée par</t>
  </si>
  <si>
    <t>Chef de projet</t>
  </si>
  <si>
    <t>/  /</t>
  </si>
  <si>
    <t>IUT de Bordeaux</t>
  </si>
  <si>
    <t>Référence : PRJ_FAD</t>
  </si>
  <si>
    <t>1 / 7</t>
  </si>
  <si>
    <t>Département GEII</t>
  </si>
  <si>
    <t>Révision : 1.6 – 19/09/2022</t>
  </si>
  <si>
    <t>Solution
 technique
 proposée</t>
  </si>
  <si>
    <t>Conformité
 à toutes les exigences
 (oui : 1 / non : 0)</t>
  </si>
  <si>
    <t>Critères
 de sélection (exemples)
 (valeur de 1 à 5)</t>
  </si>
  <si>
    <t>Total
 (produit des valeurs précédentes)</t>
  </si>
  <si>
    <t>Commentaires
 (si nécessaire)</t>
  </si>
  <si>
    <t>Distance min et max de détection</t>
  </si>
  <si>
    <t>Facilité d'utilisation du signal de sortie</t>
  </si>
  <si>
    <t>Compatibilité de la tension avec les sources disponibles</t>
  </si>
  <si>
    <t>Faible consommation en courant</t>
  </si>
  <si>
    <t>Faible Prix</t>
  </si>
  <si>
    <t>Disponibilité</t>
  </si>
  <si>
    <t>Capteur de mesure Sharp GP2Y0A41SK0F</t>
  </si>
  <si>
    <t>2-30cm</t>
  </si>
  <si>
    <t>0.25 0.4 0.55 V</t>
  </si>
  <si>
    <t>-0,3/+7V</t>
  </si>
  <si>
    <t>12mA</t>
  </si>
  <si>
    <t>Oui</t>
  </si>
  <si>
    <t>Ne répond pas à l'exigence de distance de détection</t>
  </si>
  <si>
    <t>Capteur de mesure Sharp GP2Y0A021YK</t>
  </si>
  <si>
    <t>10- 80 cm</t>
  </si>
  <si>
    <t>30mA</t>
  </si>
  <si>
    <t>2 capteurs</t>
  </si>
  <si>
    <t>Capteur de mesure Sharp GP2Y0A02YK</t>
  </si>
  <si>
    <t>40- 150 cm</t>
  </si>
  <si>
    <t>33mA</t>
  </si>
  <si>
    <t>Détection trop lointaine</t>
  </si>
  <si>
    <t>Capteur Ultrasonique HCSR04</t>
  </si>
  <si>
    <t>2cm - 400cm</t>
  </si>
  <si>
    <t>Input TTL lever signal and the range in proportion</t>
  </si>
  <si>
    <t>5V</t>
  </si>
  <si>
    <t>15mA</t>
  </si>
  <si>
    <t>Trop peu précis, ne permet pas de déterminer si l'adversaire est parfaitement devant</t>
  </si>
  <si>
    <t>Référence : SUMO_FAD</t>
  </si>
  <si>
    <t>3 / 7</t>
  </si>
  <si>
    <t>Trop cher</t>
  </si>
  <si>
    <t>1 capteur choisi</t>
  </si>
  <si>
    <t>trop cher</t>
  </si>
  <si>
    <t>detection trop loigntaine</t>
  </si>
  <si>
    <t>Respect de la stratégie de combat</t>
  </si>
  <si>
    <t>0 CNY avant + 0 CNY arrière</t>
  </si>
  <si>
    <t>0mm - 10mm</t>
  </si>
  <si>
    <t>oui</t>
  </si>
  <si>
    <t>non</t>
  </si>
  <si>
    <t>1 CNY avant + 0 CNY arrière</t>
  </si>
  <si>
    <t>2 CNY avant + 0 CNY arrière</t>
  </si>
  <si>
    <t>0 CNY avant + 1 CNY arrière</t>
  </si>
  <si>
    <t>1 CNY avant + 1 CNY arrière</t>
  </si>
  <si>
    <t>2 CNY avant + 1 CNY arrière</t>
  </si>
  <si>
    <t>2 CNY avant + 2 CNY arrière</t>
  </si>
  <si>
    <t>0mm - 575mm</t>
  </si>
  <si>
    <t>4 / 7</t>
  </si>
  <si>
    <t>Critères
 de sélection (exemples)
 (valeur de (1) à (5))</t>
  </si>
  <si>
    <t>Tension max d'entrée (V)</t>
  </si>
  <si>
    <t>Tension de sortie (V)</t>
  </si>
  <si>
    <t>Faible chute de tension sortie-entrée (V)</t>
  </si>
  <si>
    <t>Courant de sortie max (A)</t>
  </si>
  <si>
    <t>Boîtier composant facile à utiliser/souder</t>
  </si>
  <si>
    <t>Faible Prix (€)</t>
  </si>
  <si>
    <t>MC33269DT-3.3G IC</t>
  </si>
  <si>
    <t>smd</t>
  </si>
  <si>
    <t>MC33269DT-5.0G IC</t>
  </si>
  <si>
    <t>N/A</t>
  </si>
  <si>
    <t>oui (modérée)</t>
  </si>
  <si>
    <t>6 / 7</t>
  </si>
  <si>
    <t>Révision : 1.5 – 01/09/2022</t>
  </si>
  <si>
    <t>Courant max de sortie du pont</t>
  </si>
  <si>
    <t>Manière de piloter le pont</t>
  </si>
  <si>
    <t>Pololu Commande de 2 moteurs CC DRV8835 Pololu 2x1,2A</t>
  </si>
  <si>
    <t>1,5A</t>
  </si>
  <si>
    <t>mode IN ou enable avec pwm</t>
  </si>
  <si>
    <t>Pololu Commande de 2 moteurs CC DRV8833 Pololu 2x1,2A</t>
  </si>
  <si>
    <t>2A</t>
  </si>
  <si>
    <t>mode IN avec PWM</t>
  </si>
  <si>
    <t>5 / 7</t>
  </si>
  <si>
    <t>Encombrement</t>
  </si>
  <si>
    <t>Lipo CONRAD ENERGY 7.4 V 1200 mAh</t>
  </si>
  <si>
    <t>75g</t>
  </si>
  <si>
    <t>Lipo CONRAD ENERGY 7.4 V 800 mAh</t>
  </si>
  <si>
    <t>52g</t>
  </si>
  <si>
    <t>Lipo CONRAD ENERGY 7.4 V 450 mAh</t>
  </si>
  <si>
    <t xml:space="preserve">35g </t>
  </si>
  <si>
    <t>7 /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</si>
</sst>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&quot;€&quot;"/>
  </numFmts>
  <fonts count="21">
    <font>
      <sz val="10.0"/>
      <color rgb="FF000000"/>
      <name val="Arial"/>
      <scheme val="minor"/>
    </font>
    <font>
      <b/>
      <sz val="18.0"/>
      <color rgb="FF000000"/>
      <name val="Calibri"/>
    </font>
    <font>
      <sz val="16.0"/>
      <color rgb="FF000000"/>
      <name val="Calibri"/>
    </font>
    <font>
      <sz val="13.0"/>
      <color theme="1"/>
      <name val="Arial"/>
    </font>
    <font/>
    <font>
      <color theme="1"/>
      <name val="Arial"/>
    </font>
    <font>
      <b/>
      <sz val="16.0"/>
      <color rgb="FFFFFFFF"/>
      <name val="Calibri"/>
    </font>
    <font>
      <color theme="1"/>
      <name val="Arial"/>
      <scheme val="minor"/>
    </font>
    <font>
      <b/>
      <sz val="16.0"/>
      <color rgb="FF000000"/>
      <name val="Arial"/>
    </font>
    <font>
      <sz val="16.0"/>
      <color rgb="FF000000"/>
      <name val="Arial"/>
    </font>
    <font>
      <sz val="12.0"/>
      <color rgb="FF000000"/>
      <name val="Arial"/>
    </font>
    <font>
      <sz val="11.0"/>
      <color rgb="FF000000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b/>
      <sz val="18.0"/>
      <color theme="1"/>
      <name val="Calibri"/>
    </font>
    <font>
      <b/>
      <sz val="16.0"/>
      <color theme="1"/>
      <name val="Arial"/>
    </font>
    <font>
      <sz val="16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sz val="16.0"/>
      <color theme="1"/>
      <name val="Calibri"/>
    </font>
    <font>
      <color theme="1"/>
      <name val="Sofia-pro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1" fillId="0" fontId="2" numFmtId="0" xfId="0" applyAlignment="1" applyBorder="1" applyFont="1">
      <alignment horizontal="right" shrinkToFit="0" wrapText="0"/>
    </xf>
    <xf borderId="2" fillId="0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5" fillId="0" fontId="2" numFmtId="0" xfId="0" applyAlignment="1" applyBorder="1" applyFont="1">
      <alignment horizontal="right"/>
    </xf>
    <xf borderId="6" fillId="0" fontId="5" numFmtId="0" xfId="0" applyAlignment="1" applyBorder="1" applyFont="1">
      <alignment readingOrder="0"/>
    </xf>
    <xf borderId="6" fillId="0" fontId="4" numFmtId="0" xfId="0" applyBorder="1" applyFont="1"/>
    <xf borderId="7" fillId="0" fontId="4" numFmtId="0" xfId="0" applyBorder="1" applyFont="1"/>
    <xf borderId="1" fillId="2" fontId="6" numFmtId="0" xfId="0" applyAlignment="1" applyBorder="1" applyFill="1" applyFont="1">
      <alignment horizontal="center" shrinkToFit="0" wrapText="0"/>
    </xf>
    <xf borderId="4" fillId="2" fontId="6" numFmtId="0" xfId="0" applyAlignment="1" applyBorder="1" applyFont="1">
      <alignment horizontal="center" shrinkToFit="0" wrapText="0"/>
    </xf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 readingOrder="0" shrinkToFit="0" wrapText="0"/>
    </xf>
    <xf borderId="8" fillId="0" fontId="2" numFmtId="0" xfId="0" applyAlignment="1" applyBorder="1" applyFont="1">
      <alignment horizontal="center" shrinkToFit="0" wrapText="0"/>
    </xf>
    <xf borderId="8" fillId="0" fontId="2" numFmtId="164" xfId="0" applyAlignment="1" applyBorder="1" applyFont="1" applyNumberFormat="1">
      <alignment horizontal="center" readingOrder="0" shrinkToFit="0" wrapText="0"/>
    </xf>
    <xf borderId="8" fillId="0" fontId="4" numFmtId="0" xfId="0" applyBorder="1" applyFont="1"/>
    <xf borderId="5" fillId="0" fontId="4" numFmtId="0" xfId="0" applyBorder="1" applyFont="1"/>
    <xf borderId="7" fillId="0" fontId="2" numFmtId="0" xfId="0" applyAlignment="1" applyBorder="1" applyFont="1">
      <alignment horizontal="center" shrinkToFit="0" wrapText="0"/>
    </xf>
    <xf borderId="5" fillId="0" fontId="2" numFmtId="0" xfId="0" applyAlignment="1" applyBorder="1" applyFont="1">
      <alignment horizontal="center" shrinkToFit="0" wrapText="0"/>
    </xf>
    <xf borderId="7" fillId="0" fontId="2" numFmtId="0" xfId="0" applyAlignment="1" applyBorder="1" applyFont="1">
      <alignment horizontal="center" readingOrder="0" shrinkToFit="0" wrapText="0"/>
    </xf>
    <xf borderId="10" fillId="0" fontId="2" numFmtId="0" xfId="0" applyAlignment="1" applyBorder="1" applyFont="1">
      <alignment horizontal="center" shrinkToFit="0" wrapText="0"/>
    </xf>
    <xf borderId="11" fillId="0" fontId="2" numFmtId="0" xfId="0" applyAlignment="1" applyBorder="1" applyFont="1">
      <alignment horizontal="left" shrinkToFit="0" wrapText="0"/>
    </xf>
    <xf borderId="11" fillId="0" fontId="4" numFmtId="0" xfId="0" applyBorder="1" applyFont="1"/>
    <xf borderId="12" fillId="0" fontId="4" numFmtId="0" xfId="0" applyBorder="1" applyFont="1"/>
    <xf borderId="10" fillId="0" fontId="2" numFmtId="0" xfId="0" applyAlignment="1" applyBorder="1" applyFont="1">
      <alignment horizontal="right" shrinkToFit="0" vertical="bottom" wrapText="0"/>
    </xf>
    <xf borderId="6" fillId="0" fontId="2" numFmtId="0" xfId="0" applyAlignment="1" applyBorder="1" applyFont="1">
      <alignment horizontal="left" shrinkToFit="0" wrapText="0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textRotation="180" vertical="center" wrapText="0"/>
    </xf>
    <xf borderId="1" fillId="0" fontId="10" numFmtId="0" xfId="0" applyAlignment="1" applyBorder="1" applyFont="1">
      <alignment horizontal="center" shrinkToFit="0" textRotation="180" vertical="center" wrapText="1"/>
    </xf>
    <xf borderId="8" fillId="3" fontId="11" numFmtId="0" xfId="0" applyAlignment="1" applyBorder="1" applyFill="1" applyFont="1">
      <alignment horizontal="center" shrinkToFit="0" vertical="center" wrapText="1"/>
    </xf>
    <xf borderId="9" fillId="3" fontId="11" numFmtId="0" xfId="0" applyAlignment="1" applyBorder="1" applyFont="1">
      <alignment horizontal="center" readingOrder="0" shrinkToFit="0" vertical="center" wrapText="1"/>
    </xf>
    <xf borderId="7" fillId="3" fontId="12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13" numFmtId="165" xfId="0" applyAlignment="1" applyBorder="1" applyFont="1" applyNumberFormat="1">
      <alignment horizontal="center" readingOrder="0" shrinkToFit="0" vertical="center" wrapText="1"/>
    </xf>
    <xf borderId="10" fillId="3" fontId="10" numFmtId="2" xfId="0" applyAlignment="1" applyBorder="1" applyFont="1" applyNumberFormat="1">
      <alignment horizontal="center" shrinkToFit="0" vertical="center" wrapText="1"/>
    </xf>
    <xf borderId="9" fillId="3" fontId="10" numFmtId="0" xfId="0" applyAlignment="1" applyBorder="1" applyFont="1">
      <alignment horizontal="center" readingOrder="0" shrinkToFit="0" vertical="center" wrapText="1"/>
    </xf>
    <xf borderId="8" fillId="4" fontId="11" numFmtId="0" xfId="0" applyAlignment="1" applyBorder="1" applyFill="1" applyFont="1">
      <alignment horizontal="center" shrinkToFit="0" vertical="center" wrapText="1"/>
    </xf>
    <xf borderId="9" fillId="4" fontId="11" numFmtId="0" xfId="0" applyAlignment="1" applyBorder="1" applyFont="1">
      <alignment horizontal="center" readingOrder="0" shrinkToFit="0" vertical="center" wrapText="1"/>
    </xf>
    <xf borderId="7" fillId="4" fontId="12" numFmtId="0" xfId="0" applyAlignment="1" applyBorder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1" fillId="4" fontId="13" numFmtId="165" xfId="0" applyAlignment="1" applyBorder="1" applyFont="1" applyNumberFormat="1">
      <alignment horizontal="center" readingOrder="0" shrinkToFit="0" vertical="center" wrapText="1"/>
    </xf>
    <xf borderId="10" fillId="4" fontId="10" numFmtId="2" xfId="0" applyAlignment="1" applyBorder="1" applyFont="1" applyNumberFormat="1">
      <alignment horizontal="center" shrinkToFit="0" vertical="center" wrapText="1"/>
    </xf>
    <xf borderId="9" fillId="4" fontId="10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1" fillId="3" fontId="12" numFmtId="165" xfId="0" applyAlignment="1" applyBorder="1" applyFont="1" applyNumberFormat="1">
      <alignment horizontal="center" readingOrder="0" shrinkToFit="0" vertical="center" wrapText="1"/>
    </xf>
    <xf borderId="8" fillId="3" fontId="11" numFmtId="0" xfId="0" applyAlignment="1" applyBorder="1" applyFont="1">
      <alignment horizontal="center" readingOrder="0" shrinkToFit="0" vertical="center" wrapText="1"/>
    </xf>
    <xf borderId="0" fillId="3" fontId="7" numFmtId="165" xfId="0" applyAlignment="1" applyFont="1" applyNumberFormat="1">
      <alignment horizontal="center" readingOrder="0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8" fillId="4" fontId="11" numFmtId="0" xfId="0" applyAlignment="1" applyBorder="1" applyFont="1">
      <alignment horizontal="center" readingOrder="0" shrinkToFit="0" vertical="center" wrapText="1"/>
    </xf>
    <xf borderId="0" fillId="4" fontId="7" numFmtId="165" xfId="0" applyAlignment="1" applyFont="1" applyNumberFormat="1">
      <alignment horizontal="center" readingOrder="0" shrinkToFit="0" vertical="center" wrapText="1"/>
    </xf>
    <xf borderId="10" fillId="0" fontId="8" numFmtId="0" xfId="0" applyAlignment="1" applyBorder="1" applyFont="1">
      <alignment horizontal="center"/>
    </xf>
    <xf borderId="10" fillId="0" fontId="9" numFmtId="0" xfId="0" applyAlignment="1" applyBorder="1" applyFont="1">
      <alignment horizontal="center"/>
    </xf>
    <xf borderId="3" fillId="0" fontId="9" numFmtId="0" xfId="0" applyAlignment="1" applyBorder="1" applyFont="1">
      <alignment horizontal="center"/>
    </xf>
    <xf borderId="1" fillId="0" fontId="10" numFmtId="0" xfId="0" applyAlignment="1" applyBorder="1" applyFont="1">
      <alignment horizontal="center" shrinkToFit="0" textRotation="180" wrapText="0"/>
    </xf>
    <xf borderId="7" fillId="0" fontId="10" numFmtId="0" xfId="0" applyAlignment="1" applyBorder="1" applyFont="1">
      <alignment horizontal="center" shrinkToFit="0" textRotation="180" wrapText="0"/>
    </xf>
    <xf borderId="8" fillId="3" fontId="11" numFmtId="0" xfId="0" applyAlignment="1" applyBorder="1" applyFont="1">
      <alignment horizontal="center" shrinkToFit="0" vertical="center" wrapText="0"/>
    </xf>
    <xf borderId="9" fillId="3" fontId="11" numFmtId="0" xfId="0" applyAlignment="1" applyBorder="1" applyFont="1">
      <alignment horizontal="center" shrinkToFit="0" vertical="center" wrapText="0"/>
    </xf>
    <xf borderId="7" fillId="3" fontId="11" numFmtId="0" xfId="0" applyAlignment="1" applyBorder="1" applyFont="1">
      <alignment horizontal="center" readingOrder="0" shrinkToFit="0" wrapText="0"/>
    </xf>
    <xf borderId="9" fillId="3" fontId="10" numFmtId="0" xfId="0" applyAlignment="1" applyBorder="1" applyFont="1">
      <alignment horizontal="center" shrinkToFit="0" wrapText="0"/>
    </xf>
    <xf borderId="7" fillId="0" fontId="10" numFmtId="0" xfId="0" applyAlignment="1" applyBorder="1" applyFont="1">
      <alignment horizontal="center" shrinkToFit="0" wrapText="0"/>
    </xf>
    <xf borderId="7" fillId="0" fontId="10" numFmtId="0" xfId="0" applyAlignment="1" applyBorder="1" applyFont="1">
      <alignment horizontal="center" readingOrder="0" shrinkToFit="0" wrapText="0"/>
    </xf>
    <xf borderId="7" fillId="0" fontId="11" numFmtId="0" xfId="0" applyAlignment="1" applyBorder="1" applyFont="1">
      <alignment horizontal="center" shrinkToFit="0" wrapText="0"/>
    </xf>
    <xf borderId="8" fillId="4" fontId="11" numFmtId="0" xfId="0" applyAlignment="1" applyBorder="1" applyFont="1">
      <alignment horizontal="center" shrinkToFit="0" vertical="center" wrapText="0"/>
    </xf>
    <xf borderId="9" fillId="4" fontId="11" numFmtId="0" xfId="0" applyAlignment="1" applyBorder="1" applyFont="1">
      <alignment horizontal="center" shrinkToFit="0" vertical="center" wrapText="0"/>
    </xf>
    <xf borderId="7" fillId="4" fontId="11" numFmtId="0" xfId="0" applyAlignment="1" applyBorder="1" applyFont="1">
      <alignment horizontal="center" readingOrder="0" shrinkToFit="0" wrapText="0"/>
    </xf>
    <xf borderId="9" fillId="4" fontId="10" numFmtId="0" xfId="0" applyAlignment="1" applyBorder="1" applyFont="1">
      <alignment horizontal="center" shrinkToFit="0" wrapText="0"/>
    </xf>
    <xf borderId="0" fillId="0" fontId="11" numFmtId="0" xfId="0" applyAlignment="1" applyFont="1">
      <alignment horizontal="center" shrinkToFit="0" wrapText="0"/>
    </xf>
    <xf borderId="0" fillId="0" fontId="1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0" fillId="0" fontId="15" numFmtId="0" xfId="0" applyAlignment="1" applyBorder="1" applyFont="1">
      <alignment horizontal="center" vertical="bottom"/>
    </xf>
    <xf borderId="10" fillId="0" fontId="16" numFmtId="0" xfId="0" applyAlignment="1" applyBorder="1" applyFont="1">
      <alignment horizontal="center" vertical="bottom"/>
    </xf>
    <xf borderId="3" fillId="0" fontId="16" numFmtId="0" xfId="0" applyAlignment="1" applyBorder="1" applyFont="1">
      <alignment horizontal="center" readingOrder="0" vertical="bottom"/>
    </xf>
    <xf borderId="1" fillId="0" fontId="17" numFmtId="0" xfId="0" applyAlignment="1" applyBorder="1" applyFont="1">
      <alignment horizontal="center" readingOrder="0" textRotation="180" vertical="bottom"/>
    </xf>
    <xf borderId="7" fillId="0" fontId="17" numFmtId="0" xfId="0" applyAlignment="1" applyBorder="1" applyFont="1">
      <alignment horizontal="center" readingOrder="0" textRotation="180" vertical="bottom"/>
    </xf>
    <xf borderId="7" fillId="0" fontId="17" numFmtId="0" xfId="0" applyAlignment="1" applyBorder="1" applyFont="1">
      <alignment horizontal="center" textRotation="180" vertical="bottom"/>
    </xf>
    <xf borderId="7" fillId="0" fontId="5" numFmtId="0" xfId="0" applyAlignment="1" applyBorder="1" applyFont="1">
      <alignment vertical="bottom"/>
    </xf>
    <xf borderId="8" fillId="3" fontId="18" numFmtId="0" xfId="0" applyAlignment="1" applyBorder="1" applyFont="1">
      <alignment horizontal="center"/>
    </xf>
    <xf borderId="9" fillId="3" fontId="5" numFmtId="0" xfId="0" applyAlignment="1" applyBorder="1" applyFont="1">
      <alignment readingOrder="0"/>
    </xf>
    <xf borderId="7" fillId="3" fontId="5" numFmtId="0" xfId="0" applyAlignment="1" applyBorder="1" applyFont="1">
      <alignment horizontal="center" readingOrder="0" vertical="bottom"/>
    </xf>
    <xf borderId="7" fillId="3" fontId="5" numFmtId="0" xfId="0" applyAlignment="1" applyBorder="1" applyFont="1">
      <alignment horizontal="center" vertical="bottom"/>
    </xf>
    <xf borderId="9" fillId="3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8" fillId="4" fontId="18" numFmtId="0" xfId="0" applyAlignment="1" applyBorder="1" applyFont="1">
      <alignment horizontal="center"/>
    </xf>
    <xf borderId="9" fillId="4" fontId="5" numFmtId="0" xfId="0" applyAlignment="1" applyBorder="1" applyFont="1">
      <alignment readingOrder="0"/>
    </xf>
    <xf borderId="7" fillId="4" fontId="5" numFmtId="0" xfId="0" applyAlignment="1" applyBorder="1" applyFont="1">
      <alignment horizontal="center" readingOrder="0" vertical="bottom"/>
    </xf>
    <xf borderId="7" fillId="4" fontId="5" numFmtId="0" xfId="0" applyAlignment="1" applyBorder="1" applyFont="1">
      <alignment horizontal="center" vertical="bottom"/>
    </xf>
    <xf borderId="9" fillId="4" fontId="5" numFmtId="0" xfId="0" applyAlignment="1" applyBorder="1" applyFont="1">
      <alignment vertical="bottom"/>
    </xf>
    <xf borderId="10" fillId="0" fontId="19" numFmtId="0" xfId="0" applyAlignment="1" applyBorder="1" applyFont="1">
      <alignment horizontal="center" vertical="bottom"/>
    </xf>
    <xf borderId="11" fillId="0" fontId="19" numFmtId="0" xfId="0" applyAlignment="1" applyBorder="1" applyFont="1">
      <alignment vertical="bottom"/>
    </xf>
    <xf borderId="10" fillId="0" fontId="19" numFmtId="0" xfId="0" applyAlignment="1" applyBorder="1" applyFont="1">
      <alignment horizontal="right" vertical="bottom"/>
    </xf>
    <xf borderId="5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vertical="bottom"/>
    </xf>
    <xf borderId="7" fillId="0" fontId="10" numFmtId="0" xfId="0" applyAlignment="1" applyBorder="1" applyFont="1">
      <alignment horizontal="center" readingOrder="0" shrinkToFit="0" textRotation="180" wrapText="0"/>
    </xf>
    <xf borderId="9" fillId="3" fontId="11" numFmtId="0" xfId="0" applyAlignment="1" applyBorder="1" applyFont="1">
      <alignment horizontal="center" readingOrder="0" shrinkToFit="0" vertical="center" wrapText="0"/>
    </xf>
    <xf borderId="7" fillId="3" fontId="11" numFmtId="0" xfId="0" applyAlignment="1" applyBorder="1" applyFont="1">
      <alignment horizontal="center" readingOrder="0" shrinkToFit="0" wrapText="1"/>
    </xf>
    <xf borderId="1" fillId="3" fontId="20" numFmtId="165" xfId="0" applyAlignment="1" applyBorder="1" applyFont="1" applyNumberFormat="1">
      <alignment horizontal="right" readingOrder="0"/>
    </xf>
    <xf borderId="9" fillId="0" fontId="10" numFmtId="0" xfId="0" applyAlignment="1" applyBorder="1" applyFont="1">
      <alignment horizontal="center" shrinkToFit="0" wrapText="0"/>
    </xf>
    <xf borderId="9" fillId="4" fontId="11" numFmtId="0" xfId="0" applyAlignment="1" applyBorder="1" applyFont="1">
      <alignment horizontal="center" readingOrder="0" shrinkToFit="0" vertical="center" wrapText="0"/>
    </xf>
    <xf borderId="7" fillId="4" fontId="11" numFmtId="165" xfId="0" applyAlignment="1" applyBorder="1" applyFont="1" applyNumberFormat="1">
      <alignment horizontal="center" readingOrder="0" shrinkToFit="0" wrapText="0"/>
    </xf>
    <xf borderId="7" fillId="3" fontId="11" numFmtId="0" xfId="0" applyAlignment="1" applyBorder="1" applyFont="1">
      <alignment horizontal="center" shrinkToFit="0" wrapText="0"/>
    </xf>
    <xf borderId="9" fillId="3" fontId="10" numFmtId="0" xfId="0" applyAlignment="1" applyBorder="1" applyFont="1">
      <alignment horizontal="center" readingOrder="0" shrinkToFit="0" wrapText="0"/>
    </xf>
    <xf borderId="7" fillId="4" fontId="11" numFmtId="0" xfId="0" applyAlignment="1" applyBorder="1" applyFont="1">
      <alignment horizontal="center" shrinkToFit="0" wrapText="0"/>
    </xf>
    <xf borderId="9" fillId="4" fontId="10" numFmtId="0" xfId="0" applyAlignment="1" applyBorder="1" applyFont="1">
      <alignment horizontal="center" readingOrder="0" shrinkToFit="0" wrapText="0"/>
    </xf>
    <xf borderId="9" fillId="3" fontId="11" numFmtId="0" xfId="0" applyAlignment="1" applyBorder="1" applyFont="1">
      <alignment horizontal="center" shrinkToFit="0" wrapText="0"/>
    </xf>
    <xf borderId="9" fillId="3" fontId="11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3.63"/>
    <col customWidth="1" min="2" max="2" width="30.75"/>
    <col customWidth="1" min="3" max="3" width="16.38"/>
    <col customWidth="1" min="4" max="4" width="13.88"/>
    <col customWidth="1" min="5" max="5" width="11.5"/>
    <col customWidth="1" min="6" max="6" width="12.63"/>
  </cols>
  <sheetData>
    <row r="1" ht="15.75" customHeight="1">
      <c r="A1" s="1" t="s">
        <v>0</v>
      </c>
      <c r="F1" s="2"/>
    </row>
    <row r="2" ht="15.75" customHeight="1">
      <c r="F2" s="2"/>
    </row>
    <row r="3" ht="50.25" customHeight="1">
      <c r="A3" s="3" t="s">
        <v>1</v>
      </c>
      <c r="B3" s="4" t="s">
        <v>2</v>
      </c>
      <c r="C3" s="5"/>
      <c r="D3" s="5"/>
      <c r="E3" s="6"/>
      <c r="F3" s="2"/>
    </row>
    <row r="4" ht="50.25" customHeight="1">
      <c r="A4" s="7" t="s">
        <v>3</v>
      </c>
      <c r="B4" s="8" t="s">
        <v>4</v>
      </c>
      <c r="C4" s="9"/>
      <c r="D4" s="9"/>
      <c r="E4" s="10"/>
      <c r="F4" s="2"/>
    </row>
    <row r="5" ht="15.75" customHeight="1">
      <c r="F5" s="2"/>
    </row>
    <row r="6" ht="15.75" customHeight="1">
      <c r="A6" s="11" t="s">
        <v>5</v>
      </c>
      <c r="B6" s="12" t="s">
        <v>6</v>
      </c>
      <c r="C6" s="12" t="s">
        <v>7</v>
      </c>
      <c r="D6" s="12" t="s">
        <v>8</v>
      </c>
      <c r="E6" s="12" t="s">
        <v>9</v>
      </c>
      <c r="F6" s="2"/>
    </row>
    <row r="7" ht="15.75" customHeight="1">
      <c r="A7" s="13" t="s">
        <v>10</v>
      </c>
      <c r="B7" s="14" t="s">
        <v>11</v>
      </c>
      <c r="C7" s="15" t="s">
        <v>12</v>
      </c>
      <c r="D7" s="16">
        <v>45923.0</v>
      </c>
      <c r="E7" s="14" t="s">
        <v>13</v>
      </c>
      <c r="F7" s="2"/>
    </row>
    <row r="8" ht="15.75" customHeight="1">
      <c r="A8" s="17"/>
      <c r="B8" s="14" t="s">
        <v>14</v>
      </c>
      <c r="C8" s="17"/>
      <c r="D8" s="17"/>
      <c r="E8" s="14" t="s">
        <v>15</v>
      </c>
      <c r="F8" s="2"/>
    </row>
    <row r="9" ht="15.75" customHeight="1">
      <c r="A9" s="17"/>
      <c r="B9" s="14" t="s">
        <v>16</v>
      </c>
      <c r="C9" s="17"/>
      <c r="D9" s="17"/>
      <c r="E9" s="14" t="s">
        <v>17</v>
      </c>
      <c r="F9" s="2"/>
    </row>
    <row r="10" ht="15.75" customHeight="1">
      <c r="A10" s="17"/>
      <c r="B10" s="14" t="s">
        <v>18</v>
      </c>
      <c r="C10" s="17"/>
      <c r="D10" s="17"/>
      <c r="E10" s="14" t="s">
        <v>19</v>
      </c>
      <c r="F10" s="2"/>
    </row>
    <row r="11" ht="15.75" customHeight="1">
      <c r="A11" s="17"/>
      <c r="B11" s="14" t="s">
        <v>20</v>
      </c>
      <c r="C11" s="17"/>
      <c r="D11" s="17"/>
      <c r="E11" s="14" t="s">
        <v>21</v>
      </c>
      <c r="F11" s="2"/>
    </row>
    <row r="12" ht="15.75" customHeight="1">
      <c r="A12" s="18"/>
      <c r="B12" s="19"/>
      <c r="C12" s="18"/>
      <c r="D12" s="18"/>
      <c r="E12" s="19"/>
      <c r="F12" s="2"/>
    </row>
    <row r="13" ht="15.75" customHeight="1">
      <c r="A13" s="20" t="s">
        <v>22</v>
      </c>
      <c r="B13" s="21"/>
      <c r="C13" s="19" t="s">
        <v>23</v>
      </c>
      <c r="D13" s="21" t="s">
        <v>24</v>
      </c>
      <c r="E13" s="21"/>
      <c r="F13" s="2"/>
    </row>
    <row r="14" ht="15.75" customHeight="1">
      <c r="F14" s="2"/>
    </row>
    <row r="15" ht="15.75" customHeight="1">
      <c r="A15" s="22" t="s">
        <v>25</v>
      </c>
      <c r="B15" s="23" t="s">
        <v>26</v>
      </c>
      <c r="C15" s="24"/>
      <c r="D15" s="25"/>
      <c r="E15" s="26" t="s">
        <v>27</v>
      </c>
      <c r="F15" s="2"/>
    </row>
    <row r="16" ht="15.75" customHeight="1">
      <c r="A16" s="20" t="s">
        <v>28</v>
      </c>
      <c r="B16" s="27" t="s">
        <v>29</v>
      </c>
      <c r="C16" s="9"/>
      <c r="D16" s="10"/>
      <c r="E16" s="18"/>
      <c r="F16" s="2"/>
    </row>
    <row r="17" ht="15.75" customHeight="1">
      <c r="A17" s="2"/>
      <c r="B17" s="2"/>
      <c r="C17" s="2"/>
      <c r="D17" s="2"/>
      <c r="E17" s="2"/>
      <c r="F17" s="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7:D12"/>
    <mergeCell ref="A14:E14"/>
    <mergeCell ref="B15:D15"/>
    <mergeCell ref="E15:E16"/>
    <mergeCell ref="B16:D16"/>
    <mergeCell ref="A1:E1"/>
    <mergeCell ref="A2:E2"/>
    <mergeCell ref="B3:E3"/>
    <mergeCell ref="B4:E4"/>
    <mergeCell ref="A5:E5"/>
    <mergeCell ref="A7:A12"/>
    <mergeCell ref="C7:C1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63"/>
    <col customWidth="1" min="2" max="2" width="30.75"/>
    <col customWidth="1" min="3" max="3" width="18.75"/>
    <col customWidth="1" min="4" max="4" width="12.38"/>
    <col customWidth="1" min="5" max="5" width="7.38"/>
    <col customWidth="1" min="6" max="6" width="5.38"/>
    <col customWidth="1" min="7" max="7" width="5.88"/>
    <col customWidth="1" min="8" max="8" width="3.88"/>
    <col customWidth="1" min="9" max="9" width="41.5"/>
    <col customWidth="1" min="10" max="10" width="20.25"/>
  </cols>
  <sheetData>
    <row r="1" ht="15.75" customHeight="1">
      <c r="A1" s="28" t="s">
        <v>0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30" t="s">
        <v>30</v>
      </c>
      <c r="B3" s="31" t="s">
        <v>31</v>
      </c>
      <c r="C3" s="32" t="s">
        <v>32</v>
      </c>
      <c r="D3" s="5"/>
      <c r="E3" s="5"/>
      <c r="F3" s="5"/>
      <c r="G3" s="5"/>
      <c r="H3" s="6"/>
      <c r="I3" s="31" t="s">
        <v>33</v>
      </c>
      <c r="J3" s="30" t="s">
        <v>34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18"/>
      <c r="B4" s="18"/>
      <c r="C4" s="33" t="s">
        <v>35</v>
      </c>
      <c r="D4" s="34" t="s">
        <v>36</v>
      </c>
      <c r="E4" s="34" t="s">
        <v>37</v>
      </c>
      <c r="F4" s="34" t="s">
        <v>38</v>
      </c>
      <c r="G4" s="34" t="s">
        <v>39</v>
      </c>
      <c r="H4" s="34" t="s">
        <v>40</v>
      </c>
      <c r="I4" s="18"/>
      <c r="J4" s="1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26.25" customHeight="1">
      <c r="A5" s="35" t="s">
        <v>41</v>
      </c>
      <c r="B5" s="36">
        <v>0.0</v>
      </c>
      <c r="C5" s="37" t="s">
        <v>42</v>
      </c>
      <c r="D5" s="38" t="s">
        <v>43</v>
      </c>
      <c r="E5" s="38" t="s">
        <v>44</v>
      </c>
      <c r="F5" s="38" t="s">
        <v>45</v>
      </c>
      <c r="G5" s="39">
        <v>9.9</v>
      </c>
      <c r="H5" s="38" t="s">
        <v>46</v>
      </c>
      <c r="I5" s="40">
        <f>PRODUCT(C6:H6,B5)</f>
        <v>0</v>
      </c>
      <c r="J5" s="41" t="s">
        <v>47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26.25" customHeight="1">
      <c r="A6" s="18"/>
      <c r="B6" s="10"/>
      <c r="C6" s="37">
        <v>0.0</v>
      </c>
      <c r="D6" s="38">
        <v>3.5</v>
      </c>
      <c r="E6" s="38">
        <v>5.0</v>
      </c>
      <c r="F6" s="38">
        <v>4.5</v>
      </c>
      <c r="G6" s="38">
        <v>4.0</v>
      </c>
      <c r="H6" s="38">
        <v>5.0</v>
      </c>
      <c r="I6" s="18"/>
      <c r="J6" s="10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26.25" customHeight="1">
      <c r="A7" s="42" t="s">
        <v>48</v>
      </c>
      <c r="B7" s="43">
        <v>1.0</v>
      </c>
      <c r="C7" s="44" t="s">
        <v>49</v>
      </c>
      <c r="D7" s="45" t="s">
        <v>43</v>
      </c>
      <c r="E7" s="45" t="s">
        <v>44</v>
      </c>
      <c r="F7" s="45" t="s">
        <v>50</v>
      </c>
      <c r="G7" s="46">
        <v>11.5</v>
      </c>
      <c r="H7" s="45" t="s">
        <v>46</v>
      </c>
      <c r="I7" s="47">
        <f>PRODUCT(C8:H8,B7)</f>
        <v>5359.375</v>
      </c>
      <c r="J7" s="48" t="s">
        <v>51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26.25" customHeight="1">
      <c r="A8" s="18"/>
      <c r="B8" s="10"/>
      <c r="C8" s="44">
        <v>5.0</v>
      </c>
      <c r="D8" s="49">
        <v>3.5</v>
      </c>
      <c r="E8" s="49">
        <v>5.0</v>
      </c>
      <c r="F8" s="49">
        <v>3.5</v>
      </c>
      <c r="G8" s="49">
        <v>3.5</v>
      </c>
      <c r="H8" s="49">
        <v>5.0</v>
      </c>
      <c r="I8" s="18"/>
      <c r="J8" s="10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26.25" customHeight="1">
      <c r="A9" s="35" t="s">
        <v>52</v>
      </c>
      <c r="B9" s="36">
        <v>0.0</v>
      </c>
      <c r="C9" s="37" t="s">
        <v>53</v>
      </c>
      <c r="D9" s="50" t="s">
        <v>43</v>
      </c>
      <c r="E9" s="50" t="s">
        <v>44</v>
      </c>
      <c r="F9" s="38" t="s">
        <v>54</v>
      </c>
      <c r="G9" s="51">
        <v>12.8</v>
      </c>
      <c r="H9" s="38" t="s">
        <v>46</v>
      </c>
      <c r="I9" s="40">
        <f>PRODUCT(C10:H10,B9)</f>
        <v>0</v>
      </c>
      <c r="J9" s="36" t="s">
        <v>55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26.25" customHeight="1">
      <c r="A10" s="18"/>
      <c r="B10" s="10"/>
      <c r="C10" s="37">
        <v>3.0</v>
      </c>
      <c r="D10" s="38">
        <v>3.5</v>
      </c>
      <c r="E10" s="38">
        <v>5.0</v>
      </c>
      <c r="F10" s="38">
        <v>3.0</v>
      </c>
      <c r="G10" s="38">
        <v>3.0</v>
      </c>
      <c r="H10" s="38">
        <v>5.0</v>
      </c>
      <c r="I10" s="18"/>
      <c r="J10" s="1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53.25" customHeight="1">
      <c r="A11" s="52" t="s">
        <v>56</v>
      </c>
      <c r="B11" s="36">
        <v>1.0</v>
      </c>
      <c r="C11" s="37" t="s">
        <v>57</v>
      </c>
      <c r="D11" s="38" t="s">
        <v>58</v>
      </c>
      <c r="E11" s="38" t="s">
        <v>59</v>
      </c>
      <c r="F11" s="38" t="s">
        <v>60</v>
      </c>
      <c r="G11" s="53">
        <v>3.9</v>
      </c>
      <c r="H11" s="38" t="s">
        <v>46</v>
      </c>
      <c r="I11" s="40">
        <f>PRODUCT(C12:H12,B11)</f>
        <v>10000</v>
      </c>
      <c r="J11" s="41" t="s">
        <v>61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26.25" customHeight="1">
      <c r="A12" s="18"/>
      <c r="B12" s="10"/>
      <c r="C12" s="37">
        <v>5.0</v>
      </c>
      <c r="D12" s="38">
        <v>4.0</v>
      </c>
      <c r="E12" s="38">
        <v>5.0</v>
      </c>
      <c r="F12" s="38">
        <v>4.0</v>
      </c>
      <c r="G12" s="38">
        <v>5.0</v>
      </c>
      <c r="H12" s="38">
        <v>5.0</v>
      </c>
      <c r="I12" s="18"/>
      <c r="J12" s="10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26.25" customHeight="1">
      <c r="A13" s="54"/>
      <c r="B13" s="55"/>
      <c r="C13" s="56"/>
      <c r="D13" s="57"/>
      <c r="E13" s="57"/>
      <c r="F13" s="57"/>
      <c r="G13" s="57"/>
      <c r="H13" s="57"/>
      <c r="I13" s="55"/>
      <c r="J13" s="55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26.25" customHeight="1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59" t="s">
        <v>25</v>
      </c>
      <c r="B15" s="60" t="s">
        <v>62</v>
      </c>
      <c r="C15" s="24"/>
      <c r="D15" s="24"/>
      <c r="E15" s="24"/>
      <c r="F15" s="24"/>
      <c r="G15" s="24"/>
      <c r="H15" s="24"/>
      <c r="I15" s="25"/>
      <c r="J15" s="59" t="s">
        <v>63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61" t="s">
        <v>28</v>
      </c>
      <c r="B16" s="62" t="s">
        <v>29</v>
      </c>
      <c r="C16" s="9"/>
      <c r="D16" s="9"/>
      <c r="E16" s="9"/>
      <c r="F16" s="9"/>
      <c r="G16" s="9"/>
      <c r="H16" s="9"/>
      <c r="I16" s="10"/>
      <c r="J16" s="18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26">
    <mergeCell ref="A1:J1"/>
    <mergeCell ref="A2:J2"/>
    <mergeCell ref="A3:A4"/>
    <mergeCell ref="B3:B4"/>
    <mergeCell ref="C3:H3"/>
    <mergeCell ref="I3:I4"/>
    <mergeCell ref="J3:J4"/>
    <mergeCell ref="A7:A8"/>
    <mergeCell ref="A9:A10"/>
    <mergeCell ref="B9:B10"/>
    <mergeCell ref="A11:A12"/>
    <mergeCell ref="B11:B12"/>
    <mergeCell ref="I9:I10"/>
    <mergeCell ref="J9:J10"/>
    <mergeCell ref="I11:I12"/>
    <mergeCell ref="J11:J12"/>
    <mergeCell ref="B15:I15"/>
    <mergeCell ref="J15:J16"/>
    <mergeCell ref="B16:I16"/>
    <mergeCell ref="A5:A6"/>
    <mergeCell ref="B5:B6"/>
    <mergeCell ref="I5:I6"/>
    <mergeCell ref="J5:J6"/>
    <mergeCell ref="B7:B8"/>
    <mergeCell ref="I7:I8"/>
    <mergeCell ref="J7:J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63"/>
    <col customWidth="1" min="2" max="2" width="30.75"/>
    <col customWidth="1" min="3" max="3" width="18.75"/>
    <col customWidth="1" min="4" max="4" width="12.38"/>
    <col customWidth="1" min="5" max="5" width="7.38"/>
    <col customWidth="1" min="6" max="6" width="5.38"/>
    <col customWidth="1" min="7" max="7" width="5.88"/>
    <col customWidth="1" min="8" max="8" width="3.88"/>
    <col customWidth="1" min="9" max="9" width="41.5"/>
    <col customWidth="1" min="10" max="10" width="20.25"/>
  </cols>
  <sheetData>
    <row r="1" ht="15.75" customHeight="1">
      <c r="A1" s="28" t="s">
        <v>0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30" t="s">
        <v>30</v>
      </c>
      <c r="B3" s="31" t="s">
        <v>31</v>
      </c>
      <c r="C3" s="32" t="s">
        <v>32</v>
      </c>
      <c r="D3" s="5"/>
      <c r="E3" s="5"/>
      <c r="F3" s="5"/>
      <c r="G3" s="5"/>
      <c r="H3" s="6"/>
      <c r="I3" s="31" t="s">
        <v>33</v>
      </c>
      <c r="J3" s="30" t="s">
        <v>34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18"/>
      <c r="B4" s="18"/>
      <c r="C4" s="33" t="s">
        <v>35</v>
      </c>
      <c r="D4" s="34" t="s">
        <v>36</v>
      </c>
      <c r="E4" s="34" t="s">
        <v>37</v>
      </c>
      <c r="F4" s="34" t="s">
        <v>38</v>
      </c>
      <c r="G4" s="34" t="s">
        <v>39</v>
      </c>
      <c r="H4" s="34" t="s">
        <v>40</v>
      </c>
      <c r="I4" s="18"/>
      <c r="J4" s="1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26.25" customHeight="1">
      <c r="A5" s="35" t="s">
        <v>41</v>
      </c>
      <c r="B5" s="36">
        <v>0.0</v>
      </c>
      <c r="C5" s="37" t="s">
        <v>42</v>
      </c>
      <c r="D5" s="38" t="s">
        <v>43</v>
      </c>
      <c r="E5" s="38" t="s">
        <v>44</v>
      </c>
      <c r="F5" s="38" t="s">
        <v>45</v>
      </c>
      <c r="G5" s="39">
        <v>9.9</v>
      </c>
      <c r="H5" s="38" t="s">
        <v>46</v>
      </c>
      <c r="I5" s="40">
        <f>PRODUCT(C6:H6,B5)</f>
        <v>0</v>
      </c>
      <c r="J5" s="41" t="s">
        <v>47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26.25" customHeight="1">
      <c r="A6" s="18"/>
      <c r="B6" s="10"/>
      <c r="C6" s="37">
        <v>0.0</v>
      </c>
      <c r="D6" s="38">
        <v>3.5</v>
      </c>
      <c r="E6" s="38">
        <v>5.0</v>
      </c>
      <c r="F6" s="38">
        <v>4.5</v>
      </c>
      <c r="G6" s="38">
        <v>4.0</v>
      </c>
      <c r="H6" s="38">
        <v>5.0</v>
      </c>
      <c r="I6" s="18"/>
      <c r="J6" s="10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26.25" customHeight="1">
      <c r="A7" s="35" t="s">
        <v>48</v>
      </c>
      <c r="B7" s="36">
        <v>1.0</v>
      </c>
      <c r="C7" s="37" t="s">
        <v>49</v>
      </c>
      <c r="D7" s="50" t="s">
        <v>43</v>
      </c>
      <c r="E7" s="50" t="s">
        <v>44</v>
      </c>
      <c r="F7" s="50" t="s">
        <v>50</v>
      </c>
      <c r="G7" s="39">
        <v>11.5</v>
      </c>
      <c r="H7" s="50" t="s">
        <v>46</v>
      </c>
      <c r="I7" s="40">
        <f>PRODUCT(C8:H8,B7)</f>
        <v>5359.375</v>
      </c>
      <c r="J7" s="41" t="s">
        <v>64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26.25" customHeight="1">
      <c r="A8" s="18"/>
      <c r="B8" s="10"/>
      <c r="C8" s="37">
        <v>5.0</v>
      </c>
      <c r="D8" s="38">
        <v>3.5</v>
      </c>
      <c r="E8" s="38">
        <v>5.0</v>
      </c>
      <c r="F8" s="38">
        <v>3.5</v>
      </c>
      <c r="G8" s="38">
        <v>3.5</v>
      </c>
      <c r="H8" s="38">
        <v>5.0</v>
      </c>
      <c r="I8" s="18"/>
      <c r="J8" s="10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26.25" customHeight="1">
      <c r="A9" s="35" t="s">
        <v>52</v>
      </c>
      <c r="B9" s="36">
        <v>0.0</v>
      </c>
      <c r="C9" s="37" t="s">
        <v>53</v>
      </c>
      <c r="D9" s="50" t="s">
        <v>43</v>
      </c>
      <c r="E9" s="50" t="s">
        <v>44</v>
      </c>
      <c r="F9" s="38" t="s">
        <v>54</v>
      </c>
      <c r="G9" s="51">
        <v>12.8</v>
      </c>
      <c r="H9" s="38" t="s">
        <v>46</v>
      </c>
      <c r="I9" s="40">
        <f>PRODUCT(C10:H10,B9)</f>
        <v>0</v>
      </c>
      <c r="J9" s="36" t="s">
        <v>55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26.25" customHeight="1">
      <c r="A10" s="18"/>
      <c r="B10" s="10"/>
      <c r="C10" s="37">
        <v>3.0</v>
      </c>
      <c r="D10" s="38">
        <v>3.5</v>
      </c>
      <c r="E10" s="38">
        <v>5.0</v>
      </c>
      <c r="F10" s="38">
        <v>3.0</v>
      </c>
      <c r="G10" s="38">
        <v>3.0</v>
      </c>
      <c r="H10" s="38">
        <v>5.0</v>
      </c>
      <c r="I10" s="18"/>
      <c r="J10" s="1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63" t="s">
        <v>56</v>
      </c>
      <c r="B11" s="43">
        <v>1.0</v>
      </c>
      <c r="C11" s="44" t="s">
        <v>57</v>
      </c>
      <c r="D11" s="49" t="s">
        <v>58</v>
      </c>
      <c r="E11" s="49" t="s">
        <v>59</v>
      </c>
      <c r="F11" s="49" t="s">
        <v>60</v>
      </c>
      <c r="G11" s="64">
        <v>3.9</v>
      </c>
      <c r="H11" s="49" t="s">
        <v>46</v>
      </c>
      <c r="I11" s="47">
        <f>PRODUCT(C12:H12,B11)</f>
        <v>10000</v>
      </c>
      <c r="J11" s="48" t="s">
        <v>65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26.25" customHeight="1">
      <c r="A12" s="18"/>
      <c r="B12" s="10"/>
      <c r="C12" s="44">
        <v>5.0</v>
      </c>
      <c r="D12" s="49">
        <v>4.0</v>
      </c>
      <c r="E12" s="49">
        <v>5.0</v>
      </c>
      <c r="F12" s="49">
        <v>4.0</v>
      </c>
      <c r="G12" s="49">
        <v>5.0</v>
      </c>
      <c r="H12" s="49">
        <v>5.0</v>
      </c>
      <c r="I12" s="18"/>
      <c r="J12" s="10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26.25" customHeight="1">
      <c r="A13" s="54"/>
      <c r="B13" s="55"/>
      <c r="C13" s="56"/>
      <c r="D13" s="57"/>
      <c r="E13" s="57"/>
      <c r="F13" s="57"/>
      <c r="G13" s="57"/>
      <c r="H13" s="57"/>
      <c r="I13" s="55"/>
      <c r="J13" s="55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26.25" customHeight="1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59" t="s">
        <v>25</v>
      </c>
      <c r="B15" s="60" t="s">
        <v>62</v>
      </c>
      <c r="C15" s="24"/>
      <c r="D15" s="24"/>
      <c r="E15" s="24"/>
      <c r="F15" s="24"/>
      <c r="G15" s="24"/>
      <c r="H15" s="24"/>
      <c r="I15" s="25"/>
      <c r="J15" s="59" t="s">
        <v>63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61" t="s">
        <v>28</v>
      </c>
      <c r="B16" s="62" t="s">
        <v>29</v>
      </c>
      <c r="C16" s="9"/>
      <c r="D16" s="9"/>
      <c r="E16" s="9"/>
      <c r="F16" s="9"/>
      <c r="G16" s="9"/>
      <c r="H16" s="9"/>
      <c r="I16" s="10"/>
      <c r="J16" s="18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26">
    <mergeCell ref="A1:J1"/>
    <mergeCell ref="A2:J2"/>
    <mergeCell ref="A3:A4"/>
    <mergeCell ref="B3:B4"/>
    <mergeCell ref="C3:H3"/>
    <mergeCell ref="I3:I4"/>
    <mergeCell ref="J3:J4"/>
    <mergeCell ref="A7:A8"/>
    <mergeCell ref="A9:A10"/>
    <mergeCell ref="B9:B10"/>
    <mergeCell ref="A11:A12"/>
    <mergeCell ref="B11:B12"/>
    <mergeCell ref="I9:I10"/>
    <mergeCell ref="J9:J10"/>
    <mergeCell ref="I11:I12"/>
    <mergeCell ref="J11:J12"/>
    <mergeCell ref="B15:I15"/>
    <mergeCell ref="J15:J16"/>
    <mergeCell ref="B16:I16"/>
    <mergeCell ref="A5:A6"/>
    <mergeCell ref="B5:B6"/>
    <mergeCell ref="I5:I6"/>
    <mergeCell ref="J5:J6"/>
    <mergeCell ref="B7:B8"/>
    <mergeCell ref="I7:I8"/>
    <mergeCell ref="J7:J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63"/>
    <col customWidth="1" min="2" max="2" width="30.75"/>
    <col customWidth="1" min="3" max="3" width="18.75"/>
    <col customWidth="1" min="4" max="4" width="12.38"/>
    <col customWidth="1" min="5" max="5" width="7.38"/>
    <col customWidth="1" min="6" max="6" width="5.38"/>
    <col customWidth="1" min="7" max="7" width="5.88"/>
    <col customWidth="1" min="8" max="8" width="3.88"/>
    <col customWidth="1" min="9" max="9" width="41.5"/>
    <col customWidth="1" min="10" max="10" width="20.25"/>
  </cols>
  <sheetData>
    <row r="1" ht="15.75" customHeight="1">
      <c r="A1" s="28" t="s">
        <v>0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30" t="s">
        <v>30</v>
      </c>
      <c r="B3" s="31" t="s">
        <v>31</v>
      </c>
      <c r="C3" s="32" t="s">
        <v>32</v>
      </c>
      <c r="D3" s="5"/>
      <c r="E3" s="5"/>
      <c r="F3" s="5"/>
      <c r="G3" s="5"/>
      <c r="H3" s="6"/>
      <c r="I3" s="31" t="s">
        <v>33</v>
      </c>
      <c r="J3" s="30" t="s">
        <v>34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18"/>
      <c r="B4" s="18"/>
      <c r="C4" s="33" t="s">
        <v>35</v>
      </c>
      <c r="D4" s="34" t="s">
        <v>36</v>
      </c>
      <c r="E4" s="34" t="s">
        <v>37</v>
      </c>
      <c r="F4" s="34" t="s">
        <v>38</v>
      </c>
      <c r="G4" s="34" t="s">
        <v>39</v>
      </c>
      <c r="H4" s="34" t="s">
        <v>40</v>
      </c>
      <c r="I4" s="18"/>
      <c r="J4" s="1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26.25" customHeight="1">
      <c r="A5" s="35" t="s">
        <v>41</v>
      </c>
      <c r="B5" s="36">
        <v>0.0</v>
      </c>
      <c r="C5" s="37" t="s">
        <v>42</v>
      </c>
      <c r="D5" s="38" t="s">
        <v>43</v>
      </c>
      <c r="E5" s="38" t="s">
        <v>44</v>
      </c>
      <c r="F5" s="38" t="s">
        <v>45</v>
      </c>
      <c r="G5" s="39">
        <v>9.9</v>
      </c>
      <c r="H5" s="38" t="s">
        <v>46</v>
      </c>
      <c r="I5" s="40">
        <f>PRODUCT(C6:H6,B5)</f>
        <v>0</v>
      </c>
      <c r="J5" s="41" t="s">
        <v>47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26.25" customHeight="1">
      <c r="A6" s="18"/>
      <c r="B6" s="10"/>
      <c r="C6" s="37">
        <v>0.0</v>
      </c>
      <c r="D6" s="38">
        <v>3.5</v>
      </c>
      <c r="E6" s="38">
        <v>5.0</v>
      </c>
      <c r="F6" s="38">
        <v>4.5</v>
      </c>
      <c r="G6" s="38">
        <v>4.0</v>
      </c>
      <c r="H6" s="38">
        <v>5.0</v>
      </c>
      <c r="I6" s="18"/>
      <c r="J6" s="10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26.25" customHeight="1">
      <c r="A7" s="35" t="s">
        <v>48</v>
      </c>
      <c r="B7" s="36">
        <v>1.0</v>
      </c>
      <c r="C7" s="37" t="s">
        <v>49</v>
      </c>
      <c r="D7" s="50" t="s">
        <v>43</v>
      </c>
      <c r="E7" s="50" t="s">
        <v>44</v>
      </c>
      <c r="F7" s="50" t="s">
        <v>50</v>
      </c>
      <c r="G7" s="39">
        <v>11.5</v>
      </c>
      <c r="H7" s="50" t="s">
        <v>46</v>
      </c>
      <c r="I7" s="40">
        <f>PRODUCT(C8:H8,B7)</f>
        <v>5359.375</v>
      </c>
      <c r="J7" s="41" t="s">
        <v>66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26.25" customHeight="1">
      <c r="A8" s="18"/>
      <c r="B8" s="10"/>
      <c r="C8" s="37">
        <v>5.0</v>
      </c>
      <c r="D8" s="38">
        <v>3.5</v>
      </c>
      <c r="E8" s="38">
        <v>5.0</v>
      </c>
      <c r="F8" s="38">
        <v>3.5</v>
      </c>
      <c r="G8" s="38">
        <v>3.5</v>
      </c>
      <c r="H8" s="38">
        <v>5.0</v>
      </c>
      <c r="I8" s="18"/>
      <c r="J8" s="10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26.25" customHeight="1">
      <c r="A9" s="35" t="s">
        <v>52</v>
      </c>
      <c r="B9" s="36">
        <v>0.0</v>
      </c>
      <c r="C9" s="37" t="s">
        <v>53</v>
      </c>
      <c r="D9" s="50" t="s">
        <v>43</v>
      </c>
      <c r="E9" s="50" t="s">
        <v>44</v>
      </c>
      <c r="F9" s="38" t="s">
        <v>54</v>
      </c>
      <c r="G9" s="51">
        <v>12.8</v>
      </c>
      <c r="H9" s="38" t="s">
        <v>46</v>
      </c>
      <c r="I9" s="40">
        <f>PRODUCT(C10:H10,B9)</f>
        <v>0</v>
      </c>
      <c r="J9" s="36" t="s">
        <v>67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26.25" customHeight="1">
      <c r="A10" s="18"/>
      <c r="B10" s="10"/>
      <c r="C10" s="37">
        <v>3.0</v>
      </c>
      <c r="D10" s="38">
        <v>3.5</v>
      </c>
      <c r="E10" s="38">
        <v>5.0</v>
      </c>
      <c r="F10" s="38">
        <v>3.0</v>
      </c>
      <c r="G10" s="38">
        <v>3.0</v>
      </c>
      <c r="H10" s="38">
        <v>5.0</v>
      </c>
      <c r="I10" s="18"/>
      <c r="J10" s="1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26.25" customHeight="1">
      <c r="A11" s="63" t="s">
        <v>56</v>
      </c>
      <c r="B11" s="43">
        <v>1.0</v>
      </c>
      <c r="C11" s="44" t="s">
        <v>57</v>
      </c>
      <c r="D11" s="49" t="s">
        <v>58</v>
      </c>
      <c r="E11" s="49" t="s">
        <v>59</v>
      </c>
      <c r="F11" s="49" t="s">
        <v>60</v>
      </c>
      <c r="G11" s="64">
        <v>3.9</v>
      </c>
      <c r="H11" s="49" t="s">
        <v>46</v>
      </c>
      <c r="I11" s="47">
        <f>PRODUCT(C12:H12,B11)</f>
        <v>10000</v>
      </c>
      <c r="J11" s="48" t="s">
        <v>65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26.25" customHeight="1">
      <c r="A12" s="18"/>
      <c r="B12" s="10"/>
      <c r="C12" s="44">
        <v>5.0</v>
      </c>
      <c r="D12" s="49">
        <v>4.0</v>
      </c>
      <c r="E12" s="49">
        <v>5.0</v>
      </c>
      <c r="F12" s="49">
        <v>4.0</v>
      </c>
      <c r="G12" s="49">
        <v>5.0</v>
      </c>
      <c r="H12" s="49">
        <v>5.0</v>
      </c>
      <c r="I12" s="18"/>
      <c r="J12" s="10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26.25" customHeight="1">
      <c r="A13" s="54"/>
      <c r="B13" s="55"/>
      <c r="C13" s="56"/>
      <c r="D13" s="57"/>
      <c r="E13" s="57"/>
      <c r="F13" s="57"/>
      <c r="G13" s="57"/>
      <c r="H13" s="57"/>
      <c r="I13" s="55"/>
      <c r="J13" s="55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26.25" customHeight="1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59" t="s">
        <v>25</v>
      </c>
      <c r="B15" s="60" t="s">
        <v>62</v>
      </c>
      <c r="C15" s="24"/>
      <c r="D15" s="24"/>
      <c r="E15" s="24"/>
      <c r="F15" s="24"/>
      <c r="G15" s="24"/>
      <c r="H15" s="24"/>
      <c r="I15" s="25"/>
      <c r="J15" s="59" t="s">
        <v>63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61" t="s">
        <v>28</v>
      </c>
      <c r="B16" s="62" t="s">
        <v>29</v>
      </c>
      <c r="C16" s="9"/>
      <c r="D16" s="9"/>
      <c r="E16" s="9"/>
      <c r="F16" s="9"/>
      <c r="G16" s="9"/>
      <c r="H16" s="9"/>
      <c r="I16" s="10"/>
      <c r="J16" s="18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26">
    <mergeCell ref="A1:J1"/>
    <mergeCell ref="A2:J2"/>
    <mergeCell ref="A3:A4"/>
    <mergeCell ref="B3:B4"/>
    <mergeCell ref="C3:H3"/>
    <mergeCell ref="I3:I4"/>
    <mergeCell ref="J3:J4"/>
    <mergeCell ref="A7:A8"/>
    <mergeCell ref="A9:A10"/>
    <mergeCell ref="B9:B10"/>
    <mergeCell ref="A11:A12"/>
    <mergeCell ref="B11:B12"/>
    <mergeCell ref="I9:I10"/>
    <mergeCell ref="J9:J10"/>
    <mergeCell ref="I11:I12"/>
    <mergeCell ref="J11:J12"/>
    <mergeCell ref="B15:I15"/>
    <mergeCell ref="J15:J16"/>
    <mergeCell ref="B16:I16"/>
    <mergeCell ref="A5:A6"/>
    <mergeCell ref="B5:B6"/>
    <mergeCell ref="I5:I6"/>
    <mergeCell ref="J5:J6"/>
    <mergeCell ref="B7:B8"/>
    <mergeCell ref="I7:I8"/>
    <mergeCell ref="J7:J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63"/>
    <col customWidth="1" min="2" max="2" width="30.75"/>
    <col customWidth="1" min="3" max="3" width="20.63"/>
    <col customWidth="1" min="4" max="7" width="7.13"/>
    <col customWidth="1" min="8" max="8" width="44.5"/>
    <col customWidth="1" min="9" max="9" width="20.25"/>
  </cols>
  <sheetData>
    <row r="1" ht="15.75" customHeight="1">
      <c r="A1" s="1" t="s">
        <v>0</v>
      </c>
    </row>
    <row r="2" ht="15.75" customHeight="1"/>
    <row r="3" ht="15.75" customHeight="1">
      <c r="A3" s="65" t="s">
        <v>30</v>
      </c>
      <c r="B3" s="66" t="s">
        <v>31</v>
      </c>
      <c r="C3" s="67" t="s">
        <v>32</v>
      </c>
      <c r="D3" s="5"/>
      <c r="E3" s="5"/>
      <c r="F3" s="5"/>
      <c r="G3" s="6"/>
      <c r="H3" s="65" t="s">
        <v>33</v>
      </c>
      <c r="I3" s="66" t="s">
        <v>34</v>
      </c>
    </row>
    <row r="4" ht="15.75" customHeight="1">
      <c r="A4" s="18"/>
      <c r="B4" s="18"/>
      <c r="C4" s="68" t="s">
        <v>35</v>
      </c>
      <c r="D4" s="69" t="s">
        <v>37</v>
      </c>
      <c r="E4" s="69" t="s">
        <v>68</v>
      </c>
      <c r="F4" s="69" t="s">
        <v>39</v>
      </c>
      <c r="G4" s="69" t="s">
        <v>40</v>
      </c>
      <c r="H4" s="18"/>
      <c r="I4" s="18"/>
    </row>
    <row r="5" ht="26.25" customHeight="1">
      <c r="A5" s="70" t="s">
        <v>69</v>
      </c>
      <c r="B5" s="71"/>
      <c r="C5" s="72" t="s">
        <v>70</v>
      </c>
      <c r="D5" s="72" t="s">
        <v>71</v>
      </c>
      <c r="E5" s="72" t="s">
        <v>72</v>
      </c>
      <c r="F5" s="72">
        <v>0.0</v>
      </c>
      <c r="G5" s="72" t="s">
        <v>71</v>
      </c>
      <c r="H5" s="73">
        <f>D6*E6*F6*G6</f>
        <v>0</v>
      </c>
      <c r="I5" s="74"/>
    </row>
    <row r="6" ht="26.25" customHeight="1">
      <c r="A6" s="18"/>
      <c r="B6" s="10"/>
      <c r="C6" s="72">
        <v>5.0</v>
      </c>
      <c r="D6" s="72">
        <v>5.0</v>
      </c>
      <c r="E6" s="72">
        <v>0.0</v>
      </c>
      <c r="F6" s="72">
        <v>5.0</v>
      </c>
      <c r="G6" s="72">
        <v>5.0</v>
      </c>
      <c r="H6" s="10"/>
      <c r="I6" s="74"/>
    </row>
    <row r="7" ht="26.25" customHeight="1">
      <c r="A7" s="70" t="s">
        <v>73</v>
      </c>
      <c r="B7" s="71"/>
      <c r="C7" s="72" t="s">
        <v>70</v>
      </c>
      <c r="D7" s="72" t="s">
        <v>71</v>
      </c>
      <c r="E7" s="72" t="s">
        <v>72</v>
      </c>
      <c r="F7" s="72">
        <v>0.71</v>
      </c>
      <c r="G7" s="72" t="s">
        <v>71</v>
      </c>
      <c r="H7" s="73">
        <f>D8*E8*F8*G8</f>
        <v>100</v>
      </c>
      <c r="I7" s="75"/>
    </row>
    <row r="8" ht="26.25" customHeight="1">
      <c r="A8" s="18"/>
      <c r="B8" s="10"/>
      <c r="C8" s="72">
        <v>5.0</v>
      </c>
      <c r="D8" s="72">
        <v>5.0</v>
      </c>
      <c r="E8" s="72">
        <v>1.0</v>
      </c>
      <c r="F8" s="72">
        <v>4.0</v>
      </c>
      <c r="G8" s="72">
        <v>5.0</v>
      </c>
      <c r="H8" s="10"/>
      <c r="I8" s="74"/>
    </row>
    <row r="9" ht="26.25" customHeight="1">
      <c r="A9" s="70" t="s">
        <v>74</v>
      </c>
      <c r="B9" s="71"/>
      <c r="C9" s="72" t="s">
        <v>70</v>
      </c>
      <c r="D9" s="72" t="s">
        <v>71</v>
      </c>
      <c r="E9" s="72" t="s">
        <v>72</v>
      </c>
      <c r="F9" s="72">
        <v>1.42</v>
      </c>
      <c r="G9" s="72" t="s">
        <v>71</v>
      </c>
      <c r="H9" s="73">
        <f>D10*E10*F10*G10</f>
        <v>150</v>
      </c>
      <c r="I9" s="76"/>
    </row>
    <row r="10" ht="26.25" customHeight="1">
      <c r="A10" s="18"/>
      <c r="B10" s="10"/>
      <c r="C10" s="72">
        <v>5.0</v>
      </c>
      <c r="D10" s="72">
        <v>5.0</v>
      </c>
      <c r="E10" s="72">
        <v>2.0</v>
      </c>
      <c r="F10" s="72">
        <v>3.0</v>
      </c>
      <c r="G10" s="72">
        <v>5.0</v>
      </c>
      <c r="H10" s="10"/>
      <c r="I10" s="76"/>
    </row>
    <row r="11" ht="26.25" customHeight="1">
      <c r="A11" s="70" t="s">
        <v>75</v>
      </c>
      <c r="B11" s="71"/>
      <c r="C11" s="72" t="s">
        <v>70</v>
      </c>
      <c r="D11" s="72" t="s">
        <v>71</v>
      </c>
      <c r="E11" s="72" t="s">
        <v>72</v>
      </c>
      <c r="F11" s="72">
        <v>0.71</v>
      </c>
      <c r="G11" s="72" t="s">
        <v>71</v>
      </c>
      <c r="H11" s="73">
        <f>D12*E12*F12*G12</f>
        <v>100</v>
      </c>
      <c r="I11" s="76"/>
    </row>
    <row r="12" ht="26.25" customHeight="1">
      <c r="A12" s="18"/>
      <c r="B12" s="10"/>
      <c r="C12" s="72">
        <v>5.0</v>
      </c>
      <c r="D12" s="72">
        <v>5.0</v>
      </c>
      <c r="E12" s="72">
        <v>1.0</v>
      </c>
      <c r="F12" s="72">
        <v>4.0</v>
      </c>
      <c r="G12" s="72">
        <v>5.0</v>
      </c>
      <c r="H12" s="10"/>
      <c r="I12" s="76"/>
    </row>
    <row r="13" ht="26.25" customHeight="1">
      <c r="A13" s="70" t="s">
        <v>76</v>
      </c>
      <c r="B13" s="71"/>
      <c r="C13" s="72" t="s">
        <v>70</v>
      </c>
      <c r="D13" s="72" t="s">
        <v>71</v>
      </c>
      <c r="E13" s="72" t="s">
        <v>72</v>
      </c>
      <c r="F13" s="72">
        <v>1.42</v>
      </c>
      <c r="G13" s="72" t="s">
        <v>71</v>
      </c>
      <c r="H13" s="73">
        <f>D14*E14*F14*G14</f>
        <v>75</v>
      </c>
      <c r="I13" s="76"/>
    </row>
    <row r="14" ht="26.25" customHeight="1">
      <c r="A14" s="18"/>
      <c r="B14" s="10"/>
      <c r="C14" s="72">
        <v>5.0</v>
      </c>
      <c r="D14" s="72">
        <v>5.0</v>
      </c>
      <c r="E14" s="72">
        <v>1.0</v>
      </c>
      <c r="F14" s="72">
        <v>3.0</v>
      </c>
      <c r="G14" s="72">
        <v>5.0</v>
      </c>
      <c r="H14" s="10"/>
      <c r="I14" s="76"/>
    </row>
    <row r="15" ht="26.25" customHeight="1">
      <c r="A15" s="70" t="s">
        <v>77</v>
      </c>
      <c r="B15" s="71"/>
      <c r="C15" s="72" t="s">
        <v>70</v>
      </c>
      <c r="D15" s="72" t="s">
        <v>71</v>
      </c>
      <c r="E15" s="72" t="s">
        <v>72</v>
      </c>
      <c r="F15" s="72">
        <v>2.13</v>
      </c>
      <c r="G15" s="72" t="s">
        <v>71</v>
      </c>
      <c r="H15" s="73">
        <f>D16*E16*F16*G16</f>
        <v>50</v>
      </c>
      <c r="I15" s="76"/>
    </row>
    <row r="16" ht="26.25" customHeight="1">
      <c r="A16" s="18"/>
      <c r="B16" s="10"/>
      <c r="C16" s="72">
        <v>5.0</v>
      </c>
      <c r="D16" s="72">
        <v>5.0</v>
      </c>
      <c r="E16" s="72">
        <v>1.0</v>
      </c>
      <c r="F16" s="72">
        <v>2.0</v>
      </c>
      <c r="G16" s="72">
        <v>5.0</v>
      </c>
      <c r="H16" s="10"/>
      <c r="I16" s="76"/>
    </row>
    <row r="17" ht="26.25" customHeight="1">
      <c r="A17" s="77" t="s">
        <v>78</v>
      </c>
      <c r="B17" s="78"/>
      <c r="C17" s="79" t="s">
        <v>79</v>
      </c>
      <c r="D17" s="79" t="s">
        <v>71</v>
      </c>
      <c r="E17" s="79" t="s">
        <v>72</v>
      </c>
      <c r="F17" s="79">
        <v>2.82</v>
      </c>
      <c r="G17" s="79" t="s">
        <v>71</v>
      </c>
      <c r="H17" s="80">
        <f>D18*E18*F18*G18</f>
        <v>200</v>
      </c>
      <c r="I17" s="76"/>
    </row>
    <row r="18" ht="26.25" customHeight="1">
      <c r="A18" s="18"/>
      <c r="B18" s="10"/>
      <c r="C18" s="79">
        <v>5.0</v>
      </c>
      <c r="D18" s="79">
        <v>5.0</v>
      </c>
      <c r="E18" s="79">
        <v>4.0</v>
      </c>
      <c r="F18" s="79">
        <v>2.0</v>
      </c>
      <c r="G18" s="79">
        <v>5.0</v>
      </c>
      <c r="H18" s="10"/>
      <c r="I18" s="76"/>
    </row>
    <row r="19" ht="26.25" customHeight="1">
      <c r="A19" s="81"/>
      <c r="B19" s="81"/>
      <c r="C19" s="81"/>
      <c r="D19" s="81"/>
      <c r="E19" s="81"/>
      <c r="F19" s="81"/>
      <c r="G19" s="81"/>
      <c r="H19" s="81"/>
      <c r="I19" s="81"/>
    </row>
    <row r="20" ht="15.75" customHeight="1">
      <c r="A20" s="22" t="s">
        <v>25</v>
      </c>
      <c r="B20" s="23" t="s">
        <v>62</v>
      </c>
      <c r="C20" s="24"/>
      <c r="D20" s="24"/>
      <c r="E20" s="24"/>
      <c r="F20" s="24"/>
      <c r="G20" s="24"/>
      <c r="H20" s="25"/>
      <c r="I20" s="26" t="s">
        <v>80</v>
      </c>
    </row>
    <row r="21" ht="15.75" customHeight="1">
      <c r="A21" s="20" t="s">
        <v>28</v>
      </c>
      <c r="B21" s="27" t="s">
        <v>29</v>
      </c>
      <c r="C21" s="9"/>
      <c r="D21" s="9"/>
      <c r="E21" s="9"/>
      <c r="F21" s="9"/>
      <c r="G21" s="9"/>
      <c r="H21" s="10"/>
      <c r="I21" s="1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I1"/>
    <mergeCell ref="A2:I2"/>
    <mergeCell ref="A3:A4"/>
    <mergeCell ref="B3:B4"/>
    <mergeCell ref="C3:G3"/>
    <mergeCell ref="H3:H4"/>
    <mergeCell ref="I3:I4"/>
    <mergeCell ref="H7:H8"/>
    <mergeCell ref="H9:H10"/>
    <mergeCell ref="H11:H12"/>
    <mergeCell ref="H13:H14"/>
    <mergeCell ref="H15:H16"/>
    <mergeCell ref="H17:H18"/>
    <mergeCell ref="A5:A6"/>
    <mergeCell ref="B5:B6"/>
    <mergeCell ref="H5:H6"/>
    <mergeCell ref="A7:A8"/>
    <mergeCell ref="B7:B8"/>
    <mergeCell ref="A9:A10"/>
    <mergeCell ref="B9:B10"/>
    <mergeCell ref="B17:B18"/>
    <mergeCell ref="B20:H20"/>
    <mergeCell ref="I20:I21"/>
    <mergeCell ref="B21:H21"/>
    <mergeCell ref="A11:A12"/>
    <mergeCell ref="B11:B12"/>
    <mergeCell ref="A13:A14"/>
    <mergeCell ref="B13:B14"/>
    <mergeCell ref="A15:A16"/>
    <mergeCell ref="B15:B16"/>
    <mergeCell ref="A17:A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27.38"/>
    <col customWidth="1" min="11" max="11" width="25.63"/>
    <col customWidth="1" min="12" max="12" width="22.88"/>
  </cols>
  <sheetData>
    <row r="1">
      <c r="A1" s="82" t="s">
        <v>0</v>
      </c>
      <c r="M1" s="83"/>
      <c r="N1" s="83"/>
    </row>
    <row r="2">
      <c r="A2" s="83"/>
      <c r="M2" s="83"/>
      <c r="N2" s="83"/>
    </row>
    <row r="3">
      <c r="A3" s="84" t="s">
        <v>30</v>
      </c>
      <c r="B3" s="85" t="s">
        <v>31</v>
      </c>
      <c r="C3" s="86" t="s">
        <v>81</v>
      </c>
      <c r="D3" s="5"/>
      <c r="E3" s="5"/>
      <c r="F3" s="5"/>
      <c r="G3" s="5"/>
      <c r="H3" s="5"/>
      <c r="I3" s="5"/>
      <c r="J3" s="6"/>
      <c r="K3" s="84" t="s">
        <v>33</v>
      </c>
      <c r="L3" s="85" t="s">
        <v>34</v>
      </c>
      <c r="M3" s="83"/>
      <c r="N3" s="83"/>
    </row>
    <row r="4">
      <c r="A4" s="18"/>
      <c r="B4" s="18"/>
      <c r="C4" s="87" t="s">
        <v>82</v>
      </c>
      <c r="D4" s="88" t="s">
        <v>83</v>
      </c>
      <c r="E4" s="88" t="s">
        <v>84</v>
      </c>
      <c r="F4" s="88" t="s">
        <v>85</v>
      </c>
      <c r="G4" s="88" t="s">
        <v>86</v>
      </c>
      <c r="H4" s="88" t="s">
        <v>87</v>
      </c>
      <c r="I4" s="89" t="s">
        <v>40</v>
      </c>
      <c r="J4" s="90"/>
      <c r="K4" s="18"/>
      <c r="L4" s="18"/>
      <c r="M4" s="83"/>
      <c r="N4" s="83"/>
    </row>
    <row r="5">
      <c r="A5" s="91" t="s">
        <v>88</v>
      </c>
      <c r="B5" s="92">
        <v>0.0</v>
      </c>
      <c r="C5" s="93">
        <v>20.0</v>
      </c>
      <c r="D5" s="93">
        <v>3.3</v>
      </c>
      <c r="E5" s="93">
        <v>1.0</v>
      </c>
      <c r="F5" s="93">
        <v>0.8</v>
      </c>
      <c r="G5" s="93" t="s">
        <v>89</v>
      </c>
      <c r="H5" s="93">
        <v>0.7</v>
      </c>
      <c r="I5" s="93" t="s">
        <v>71</v>
      </c>
      <c r="J5" s="94"/>
      <c r="K5" s="95">
        <f>B5*C6*D6*E6*F6*G6*H6*I6</f>
        <v>0</v>
      </c>
      <c r="L5" s="96"/>
      <c r="M5" s="83"/>
      <c r="N5" s="83"/>
    </row>
    <row r="6">
      <c r="A6" s="18"/>
      <c r="B6" s="10"/>
      <c r="C6" s="93">
        <v>5.0</v>
      </c>
      <c r="D6" s="93">
        <v>0.0</v>
      </c>
      <c r="E6" s="93">
        <v>5.0</v>
      </c>
      <c r="F6" s="93">
        <v>5.0</v>
      </c>
      <c r="G6" s="93">
        <v>5.0</v>
      </c>
      <c r="H6" s="93">
        <v>5.0</v>
      </c>
      <c r="I6" s="93">
        <v>5.0</v>
      </c>
      <c r="J6" s="94"/>
      <c r="K6" s="10"/>
      <c r="L6" s="10"/>
      <c r="M6" s="83"/>
      <c r="N6" s="83"/>
    </row>
    <row r="7">
      <c r="A7" s="97" t="s">
        <v>90</v>
      </c>
      <c r="B7" s="98">
        <v>1.0</v>
      </c>
      <c r="C7" s="99">
        <v>20.0</v>
      </c>
      <c r="D7" s="99">
        <v>5.0</v>
      </c>
      <c r="E7" s="99">
        <v>1.0</v>
      </c>
      <c r="F7" s="99">
        <v>0.8</v>
      </c>
      <c r="G7" s="99" t="s">
        <v>89</v>
      </c>
      <c r="H7" s="99" t="s">
        <v>91</v>
      </c>
      <c r="I7" s="99" t="s">
        <v>92</v>
      </c>
      <c r="J7" s="100"/>
      <c r="K7" s="101">
        <f>B7*C8*D8*E8*F8*G8*H8*I8</f>
        <v>6250</v>
      </c>
      <c r="L7" s="96"/>
      <c r="M7" s="83"/>
      <c r="N7" s="83"/>
    </row>
    <row r="8">
      <c r="A8" s="18"/>
      <c r="B8" s="10"/>
      <c r="C8" s="99">
        <v>5.0</v>
      </c>
      <c r="D8" s="99">
        <v>5.0</v>
      </c>
      <c r="E8" s="99">
        <v>5.0</v>
      </c>
      <c r="F8" s="99">
        <v>5.0</v>
      </c>
      <c r="G8" s="99">
        <v>5.0</v>
      </c>
      <c r="H8" s="99">
        <v>1.0</v>
      </c>
      <c r="I8" s="99">
        <v>2.0</v>
      </c>
      <c r="J8" s="100"/>
      <c r="K8" s="10"/>
      <c r="L8" s="10"/>
      <c r="M8" s="83"/>
      <c r="N8" s="83"/>
    </row>
    <row r="9">
      <c r="M9" s="83"/>
      <c r="N9" s="83"/>
    </row>
    <row r="10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</row>
    <row r="11">
      <c r="A11" s="102" t="s">
        <v>25</v>
      </c>
      <c r="B11" s="103" t="s">
        <v>62</v>
      </c>
      <c r="C11" s="24"/>
      <c r="D11" s="24"/>
      <c r="E11" s="24"/>
      <c r="F11" s="24"/>
      <c r="G11" s="24"/>
      <c r="H11" s="24"/>
      <c r="I11" s="24"/>
      <c r="J11" s="24"/>
      <c r="K11" s="25"/>
      <c r="L11" s="104" t="s">
        <v>93</v>
      </c>
      <c r="M11" s="83"/>
      <c r="N11" s="83"/>
    </row>
    <row r="12">
      <c r="A12" s="105" t="s">
        <v>28</v>
      </c>
      <c r="B12" s="106" t="s">
        <v>94</v>
      </c>
      <c r="C12" s="9"/>
      <c r="D12" s="9"/>
      <c r="E12" s="9"/>
      <c r="F12" s="9"/>
      <c r="G12" s="9"/>
      <c r="H12" s="9"/>
      <c r="I12" s="9"/>
      <c r="J12" s="9"/>
      <c r="K12" s="10"/>
      <c r="L12" s="18"/>
      <c r="M12" s="83"/>
      <c r="N12" s="83"/>
    </row>
    <row r="13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</row>
    <row r="14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</row>
    <row r="15">
      <c r="N15" s="83"/>
    </row>
    <row r="16">
      <c r="N16" s="83"/>
    </row>
    <row r="17">
      <c r="N17" s="83"/>
    </row>
    <row r="18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</row>
    <row r="20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</row>
  </sheetData>
  <mergeCells count="18">
    <mergeCell ref="A1:L1"/>
    <mergeCell ref="A2:L2"/>
    <mergeCell ref="A3:A4"/>
    <mergeCell ref="B3:B4"/>
    <mergeCell ref="C3:J3"/>
    <mergeCell ref="K3:K4"/>
    <mergeCell ref="L3:L4"/>
    <mergeCell ref="K7:K8"/>
    <mergeCell ref="B11:K11"/>
    <mergeCell ref="L11:L12"/>
    <mergeCell ref="B12:K12"/>
    <mergeCell ref="A5:A6"/>
    <mergeCell ref="B5:B6"/>
    <mergeCell ref="K5:K6"/>
    <mergeCell ref="L5:L6"/>
    <mergeCell ref="A7:A8"/>
    <mergeCell ref="B7:B8"/>
    <mergeCell ref="L7: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63"/>
    <col customWidth="1" min="2" max="2" width="30.75"/>
    <col customWidth="1" min="3" max="3" width="13.75"/>
    <col customWidth="1" min="4" max="4" width="8.63"/>
    <col customWidth="1" min="5" max="5" width="26.75"/>
    <col customWidth="1" min="6" max="7" width="8.63"/>
    <col customWidth="1" min="8" max="8" width="44.5"/>
    <col customWidth="1" min="9" max="9" width="21.13"/>
  </cols>
  <sheetData>
    <row r="1" ht="15.75" customHeight="1">
      <c r="A1" s="1" t="s">
        <v>0</v>
      </c>
    </row>
    <row r="2" ht="15.75" customHeight="1"/>
    <row r="3" ht="15.75" customHeight="1">
      <c r="A3" s="65" t="s">
        <v>30</v>
      </c>
      <c r="B3" s="66" t="s">
        <v>31</v>
      </c>
      <c r="C3" s="67" t="s">
        <v>32</v>
      </c>
      <c r="D3" s="5"/>
      <c r="E3" s="5"/>
      <c r="F3" s="5"/>
      <c r="G3" s="6"/>
      <c r="H3" s="65" t="s">
        <v>33</v>
      </c>
      <c r="I3" s="66" t="s">
        <v>34</v>
      </c>
    </row>
    <row r="4" ht="15.75" customHeight="1">
      <c r="A4" s="18"/>
      <c r="B4" s="18"/>
      <c r="C4" s="68" t="s">
        <v>37</v>
      </c>
      <c r="D4" s="107" t="s">
        <v>95</v>
      </c>
      <c r="E4" s="69" t="s">
        <v>96</v>
      </c>
      <c r="F4" s="69" t="s">
        <v>39</v>
      </c>
      <c r="G4" s="69" t="s">
        <v>40</v>
      </c>
      <c r="H4" s="18"/>
      <c r="I4" s="18"/>
    </row>
    <row r="5" ht="31.5" customHeight="1">
      <c r="A5" s="52" t="s">
        <v>97</v>
      </c>
      <c r="B5" s="108">
        <v>1.0</v>
      </c>
      <c r="C5" s="109" t="s">
        <v>46</v>
      </c>
      <c r="D5" s="72" t="s">
        <v>98</v>
      </c>
      <c r="E5" s="72" t="s">
        <v>99</v>
      </c>
      <c r="F5" s="110">
        <v>12.7</v>
      </c>
      <c r="G5" s="72" t="s">
        <v>71</v>
      </c>
      <c r="H5" s="73">
        <f>PRODUCT(C6:G6)</f>
        <v>39.375</v>
      </c>
      <c r="I5" s="111"/>
    </row>
    <row r="6" ht="31.5" customHeight="1">
      <c r="A6" s="18"/>
      <c r="B6" s="10"/>
      <c r="C6" s="72">
        <v>1.0</v>
      </c>
      <c r="D6" s="72">
        <v>2.5</v>
      </c>
      <c r="E6" s="72">
        <v>4.5</v>
      </c>
      <c r="F6" s="72">
        <v>3.5</v>
      </c>
      <c r="G6" s="72">
        <v>1.0</v>
      </c>
      <c r="H6" s="10"/>
      <c r="I6" s="10"/>
    </row>
    <row r="7" ht="31.5" customHeight="1">
      <c r="A7" s="63" t="s">
        <v>100</v>
      </c>
      <c r="B7" s="112">
        <v>1.0</v>
      </c>
      <c r="C7" s="79" t="s">
        <v>46</v>
      </c>
      <c r="D7" s="79" t="s">
        <v>101</v>
      </c>
      <c r="E7" s="79" t="s">
        <v>102</v>
      </c>
      <c r="F7" s="113">
        <v>11.4</v>
      </c>
      <c r="G7" s="79" t="s">
        <v>71</v>
      </c>
      <c r="H7" s="80">
        <f>PRODUCT(C8:G8)</f>
        <v>54</v>
      </c>
      <c r="I7" s="111"/>
    </row>
    <row r="8" ht="31.5" customHeight="1">
      <c r="A8" s="18"/>
      <c r="B8" s="10"/>
      <c r="C8" s="79">
        <v>1.0</v>
      </c>
      <c r="D8" s="79">
        <v>4.0</v>
      </c>
      <c r="E8" s="79">
        <v>3.0</v>
      </c>
      <c r="F8" s="79">
        <v>4.5</v>
      </c>
      <c r="G8" s="79">
        <v>1.0</v>
      </c>
      <c r="H8" s="10"/>
      <c r="I8" s="10"/>
    </row>
    <row r="9" ht="31.5" customHeight="1">
      <c r="A9" s="81"/>
      <c r="B9" s="81"/>
      <c r="C9" s="81"/>
      <c r="D9" s="81"/>
      <c r="E9" s="81"/>
      <c r="F9" s="81"/>
      <c r="G9" s="81"/>
      <c r="H9" s="81"/>
      <c r="I9" s="81"/>
    </row>
    <row r="10" ht="15.75" customHeight="1">
      <c r="A10" s="22" t="s">
        <v>25</v>
      </c>
      <c r="B10" s="23" t="s">
        <v>26</v>
      </c>
      <c r="C10" s="24"/>
      <c r="D10" s="24"/>
      <c r="E10" s="24"/>
      <c r="F10" s="24"/>
      <c r="G10" s="24"/>
      <c r="H10" s="25"/>
      <c r="I10" s="26" t="s">
        <v>103</v>
      </c>
    </row>
    <row r="11" ht="15.75" customHeight="1">
      <c r="A11" s="20" t="s">
        <v>28</v>
      </c>
      <c r="B11" s="27" t="s">
        <v>29</v>
      </c>
      <c r="C11" s="9"/>
      <c r="D11" s="9"/>
      <c r="E11" s="9"/>
      <c r="F11" s="9"/>
      <c r="G11" s="9"/>
      <c r="H11" s="10"/>
      <c r="I11" s="1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I1"/>
    <mergeCell ref="A2:I2"/>
    <mergeCell ref="A3:A4"/>
    <mergeCell ref="B3:B4"/>
    <mergeCell ref="C3:G3"/>
    <mergeCell ref="H3:H4"/>
    <mergeCell ref="I3:I4"/>
    <mergeCell ref="H7:H8"/>
    <mergeCell ref="B10:H10"/>
    <mergeCell ref="I10:I11"/>
    <mergeCell ref="B11:H11"/>
    <mergeCell ref="A5:A6"/>
    <mergeCell ref="B5:B6"/>
    <mergeCell ref="H5:H6"/>
    <mergeCell ref="I5:I6"/>
    <mergeCell ref="A7:A8"/>
    <mergeCell ref="B7:B8"/>
    <mergeCell ref="I7:I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63"/>
    <col customWidth="1" min="2" max="2" width="30.75"/>
    <col customWidth="1" min="3" max="3" width="18.75"/>
    <col customWidth="1" min="4" max="5" width="6.63"/>
    <col customWidth="1" min="6" max="6" width="41.5"/>
    <col customWidth="1" min="7" max="7" width="24.63"/>
  </cols>
  <sheetData>
    <row r="1" ht="15.75" customHeight="1">
      <c r="A1" s="1" t="s">
        <v>0</v>
      </c>
    </row>
    <row r="2" ht="15.75" customHeight="1"/>
    <row r="3" ht="15.75" customHeight="1">
      <c r="A3" s="65" t="s">
        <v>30</v>
      </c>
      <c r="B3" s="66" t="s">
        <v>31</v>
      </c>
      <c r="C3" s="67" t="s">
        <v>32</v>
      </c>
      <c r="D3" s="5"/>
      <c r="E3" s="6"/>
      <c r="F3" s="66" t="s">
        <v>33</v>
      </c>
      <c r="G3" s="65" t="s">
        <v>34</v>
      </c>
    </row>
    <row r="4" ht="15.75" customHeight="1">
      <c r="A4" s="18"/>
      <c r="B4" s="18"/>
      <c r="C4" s="68" t="s">
        <v>104</v>
      </c>
      <c r="D4" s="69" t="s">
        <v>39</v>
      </c>
      <c r="E4" s="69" t="s">
        <v>40</v>
      </c>
      <c r="F4" s="18"/>
      <c r="G4" s="18"/>
    </row>
    <row r="5" ht="26.25" customHeight="1">
      <c r="A5" s="70" t="s">
        <v>105</v>
      </c>
      <c r="B5" s="108">
        <v>1.0</v>
      </c>
      <c r="C5" s="114">
        <f>7.2*3.6*1.2</f>
        <v>31.104</v>
      </c>
      <c r="D5" s="72">
        <v>17.99</v>
      </c>
      <c r="E5" s="72" t="s">
        <v>71</v>
      </c>
      <c r="F5" s="73">
        <f>C6*D6*E6*B5</f>
        <v>45</v>
      </c>
      <c r="G5" s="115" t="s">
        <v>106</v>
      </c>
    </row>
    <row r="6" ht="26.25" customHeight="1">
      <c r="A6" s="18"/>
      <c r="B6" s="10"/>
      <c r="C6" s="72">
        <v>3.0</v>
      </c>
      <c r="D6" s="72">
        <v>3.0</v>
      </c>
      <c r="E6" s="72">
        <v>5.0</v>
      </c>
      <c r="F6" s="10"/>
      <c r="G6" s="10"/>
    </row>
    <row r="7" ht="26.25" customHeight="1">
      <c r="A7" s="77" t="s">
        <v>107</v>
      </c>
      <c r="B7" s="112">
        <v>1.0</v>
      </c>
      <c r="C7" s="116">
        <f> 5.6*3.1*1.7</f>
        <v>29.512</v>
      </c>
      <c r="D7" s="79">
        <v>12.99</v>
      </c>
      <c r="E7" s="79" t="s">
        <v>71</v>
      </c>
      <c r="F7" s="80">
        <f>C8*D8*E8*B7</f>
        <v>80</v>
      </c>
      <c r="G7" s="117" t="s">
        <v>108</v>
      </c>
    </row>
    <row r="8" ht="26.25" customHeight="1">
      <c r="A8" s="18"/>
      <c r="B8" s="10"/>
      <c r="C8" s="79">
        <v>4.0</v>
      </c>
      <c r="D8" s="79">
        <v>4.0</v>
      </c>
      <c r="E8" s="79">
        <v>5.0</v>
      </c>
      <c r="F8" s="10"/>
      <c r="G8" s="10"/>
    </row>
    <row r="9" ht="26.25" customHeight="1">
      <c r="A9" s="70" t="s">
        <v>109</v>
      </c>
      <c r="B9" s="108">
        <v>0.0</v>
      </c>
      <c r="C9" s="114">
        <f>5.6*3.1*1.15</f>
        <v>19.964</v>
      </c>
      <c r="D9" s="72">
        <v>8.29</v>
      </c>
      <c r="E9" s="72" t="s">
        <v>71</v>
      </c>
      <c r="F9" s="118">
        <f>E10*D10*C10*B9</f>
        <v>0</v>
      </c>
      <c r="G9" s="119" t="s">
        <v>110</v>
      </c>
    </row>
    <row r="10" ht="26.25" customHeight="1">
      <c r="A10" s="18"/>
      <c r="B10" s="10"/>
      <c r="C10" s="72">
        <v>5.0</v>
      </c>
      <c r="D10" s="72">
        <v>5.0</v>
      </c>
      <c r="E10" s="72">
        <v>5.0</v>
      </c>
      <c r="F10" s="10"/>
      <c r="G10" s="10"/>
    </row>
    <row r="11" ht="26.25" customHeight="1">
      <c r="A11" s="81"/>
      <c r="B11" s="81"/>
      <c r="C11" s="81"/>
      <c r="D11" s="81"/>
      <c r="E11" s="81"/>
      <c r="F11" s="81"/>
      <c r="G11" s="81"/>
    </row>
    <row r="12" ht="15.75" customHeight="1">
      <c r="A12" s="22" t="s">
        <v>25</v>
      </c>
      <c r="B12" s="23" t="s">
        <v>62</v>
      </c>
      <c r="C12" s="24"/>
      <c r="D12" s="24"/>
      <c r="E12" s="24"/>
      <c r="F12" s="25"/>
      <c r="G12" s="26" t="s">
        <v>111</v>
      </c>
    </row>
    <row r="13" ht="15.75" customHeight="1">
      <c r="A13" s="20" t="s">
        <v>28</v>
      </c>
      <c r="B13" s="27" t="s">
        <v>29</v>
      </c>
      <c r="C13" s="9"/>
      <c r="D13" s="9"/>
      <c r="E13" s="9"/>
      <c r="F13" s="10"/>
      <c r="G13" s="1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G1"/>
    <mergeCell ref="A2:G2"/>
    <mergeCell ref="A3:A4"/>
    <mergeCell ref="B3:B4"/>
    <mergeCell ref="C3:E3"/>
    <mergeCell ref="F3:F4"/>
    <mergeCell ref="G3:G4"/>
    <mergeCell ref="A7:A8"/>
    <mergeCell ref="A9:A10"/>
    <mergeCell ref="B9:B10"/>
    <mergeCell ref="F9:F10"/>
    <mergeCell ref="G9:G10"/>
    <mergeCell ref="B12:F12"/>
    <mergeCell ref="G12:G13"/>
    <mergeCell ref="B13:F13"/>
    <mergeCell ref="A5:A6"/>
    <mergeCell ref="B5:B6"/>
    <mergeCell ref="F5:F6"/>
    <mergeCell ref="G5:G6"/>
    <mergeCell ref="B7:B8"/>
    <mergeCell ref="F7:F8"/>
    <mergeCell ref="G7:G8"/>
  </mergeCells>
  <drawing r:id="rId1"/>
</worksheet>
</file>